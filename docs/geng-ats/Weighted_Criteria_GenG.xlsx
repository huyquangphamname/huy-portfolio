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êu chí Hệ thống (trọng số)" sheetId="1" state="visible" r:id="rId1"/>
    <sheet xmlns:r="http://schemas.openxmlformats.org/officeDocument/2006/relationships" name="Đề xuất - Chấm điểm Ứng viê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2" customWidth="1" min="4" max="4"/>
    <col width="22" customWidth="1" min="5" max="5"/>
    <col width="40" customWidth="1" min="6" max="6"/>
  </cols>
  <sheetData>
    <row r="1">
      <c r="A1" s="1" t="inlineStr">
        <is>
          <t>BẢNG TIÊU CHÍ ĐÁNH GIÁ HỆ THỐNG GenG ATS — CÓ TRỌNG SỐ</t>
        </is>
      </c>
    </row>
    <row r="3">
      <c r="A3" s="2" t="inlineStr">
        <is>
          <t>#</t>
        </is>
      </c>
      <c r="B3" s="2" t="inlineStr">
        <is>
          <t>Nhóm tiêu chí</t>
        </is>
      </c>
      <c r="C3" s="2" t="inlineStr">
        <is>
          <t>Trọng số (%)</t>
        </is>
      </c>
      <c r="D3" s="2" t="inlineStr">
        <is>
          <t>Điểm (1-5)</t>
        </is>
      </c>
      <c r="E3" s="2" t="inlineStr">
        <is>
          <t>Điểm có trọng số (=W×S/5)</t>
        </is>
      </c>
      <c r="F3" s="2" t="inlineStr">
        <is>
          <t>Căn cứ / Ghi chú</t>
        </is>
      </c>
    </row>
    <row r="4">
      <c r="A4" s="3" t="n">
        <v>1</v>
      </c>
      <c r="B4" s="3" t="inlineStr">
        <is>
          <t>Độ chính xác Parsing CV (5 trường)</t>
        </is>
      </c>
      <c r="C4" s="3" t="n">
        <v>25</v>
      </c>
      <c r="D4" s="3" t="inlineStr"/>
      <c r="E4" s="3">
        <f>C4*0/5</f>
        <v/>
      </c>
      <c r="F4" s="3" t="inlineStr">
        <is>
          <t>Tiêu chí #1 doanh nghiệp; NFR-002 ≥95%</t>
        </is>
      </c>
    </row>
    <row r="5">
      <c r="A5" s="3" t="n">
        <v>2</v>
      </c>
      <c r="B5" s="3" t="inlineStr">
        <is>
          <t>Hiệu quả Lọc/Tìm theo từ khoá</t>
        </is>
      </c>
      <c r="C5" s="3" t="n">
        <v>20</v>
      </c>
      <c r="D5" s="3" t="inlineStr"/>
      <c r="E5" s="3">
        <f>C5*0/5</f>
        <v/>
      </c>
      <c r="F5" s="3" t="inlineStr">
        <is>
          <t>Tiêu chí #2 doanh nghiệp; AC2.x</t>
        </is>
      </c>
    </row>
    <row r="6">
      <c r="A6" s="3" t="n">
        <v>3</v>
      </c>
      <c r="B6" s="3" t="inlineStr">
        <is>
          <t>Quản lý trạng thái &amp; UX (Kanban dễ dùng)</t>
        </is>
      </c>
      <c r="C6" s="3" t="n">
        <v>15</v>
      </c>
      <c r="D6" s="3" t="inlineStr"/>
      <c r="E6" s="3">
        <f>C6*0/5</f>
        <v/>
      </c>
      <c r="F6" s="3" t="inlineStr">
        <is>
          <t>Tiêu chí #3; NFR-007</t>
        </is>
      </c>
    </row>
    <row r="7">
      <c r="A7" s="3" t="n">
        <v>4</v>
      </c>
      <c r="B7" s="3" t="inlineStr">
        <is>
          <t>Chất lượng tài liệu BA (BRD/FRS/SRS rõ, logic)</t>
        </is>
      </c>
      <c r="C7" s="3" t="n">
        <v>15</v>
      </c>
      <c r="D7" s="3" t="inlineStr"/>
      <c r="E7" s="3">
        <f>C7*0/5</f>
        <v/>
      </c>
      <c r="F7" s="3" t="inlineStr">
        <is>
          <t>Tiêu chí #4; gồm As-is/To-be, Use Case</t>
        </is>
      </c>
    </row>
    <row r="8">
      <c r="A8" s="3" t="n">
        <v>5</v>
      </c>
      <c r="B8" s="3" t="inlineStr">
        <is>
          <t>Bảo mật &amp; Tuân thủ (RBAC, AES-256, luật BVDLCN)</t>
        </is>
      </c>
      <c r="C8" s="3" t="n">
        <v>15</v>
      </c>
      <c r="D8" s="3" t="inlineStr"/>
      <c r="E8" s="3">
        <f>C8*0/5</f>
        <v/>
      </c>
      <c r="F8" s="3" t="inlineStr">
        <is>
          <t>NFR-003/004/009; cập nhật luật 2026</t>
        </is>
      </c>
    </row>
    <row r="9">
      <c r="A9" s="3" t="n">
        <v>6</v>
      </c>
      <c r="B9" s="3" t="inlineStr">
        <is>
          <t>Hiệu năng &amp; Độ khả dụng (&lt;3s, uptime 99.9%)</t>
        </is>
      </c>
      <c r="C9" s="3" t="n">
        <v>10</v>
      </c>
      <c r="D9" s="3" t="inlineStr"/>
      <c r="E9" s="3">
        <f>C9*0/5</f>
        <v/>
      </c>
      <c r="F9" s="3" t="inlineStr">
        <is>
          <t>NFR-001, NFR-005</t>
        </is>
      </c>
    </row>
    <row r="10">
      <c r="A10" s="4" t="inlineStr"/>
      <c r="B10" s="4" t="inlineStr">
        <is>
          <t>TỔNG</t>
        </is>
      </c>
      <c r="C10" s="4">
        <f>SUM(C4:C9)</f>
        <v/>
      </c>
      <c r="D10" s="4" t="inlineStr"/>
      <c r="E10" s="4">
        <f>SUM(E4:E9)</f>
        <v/>
      </c>
      <c r="F10" s="4" t="inlineStr">
        <is>
          <t>Tổng trọng số phải =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30" customWidth="1" min="4" max="4"/>
    <col width="12" customWidth="1" min="5" max="5"/>
    <col width="18" customWidth="1" min="6" max="6"/>
  </cols>
  <sheetData>
    <row r="1">
      <c r="A1" s="5" t="inlineStr">
        <is>
          <t>ĐỀ XUẤT NÂNG CẤP — MÔ HÌNH CHẤM ĐIỂM ỨNG VIÊN CÓ TRỌNG SỐ (Weighted Scoring)</t>
        </is>
      </c>
    </row>
    <row r="2">
      <c r="A2" t="inlineStr">
        <is>
          <t>Hiện tại lọc từ khoá là nhị phân (khớp/không). Đề xuất thêm điểm khớp có trọng số để xếp hạng ứng viên.</t>
        </is>
      </c>
    </row>
    <row r="4">
      <c r="A4" s="2" t="inlineStr">
        <is>
          <t>#</t>
        </is>
      </c>
      <c r="B4" s="2" t="inlineStr">
        <is>
          <t>Tiêu chí ứng viên</t>
        </is>
      </c>
      <c r="C4" s="2" t="inlineStr">
        <is>
          <t>Trọng số (%)</t>
        </is>
      </c>
      <c r="D4" s="2" t="inlineStr">
        <is>
          <t>Cách tính điểm (1-5)</t>
        </is>
      </c>
      <c r="E4" s="2" t="inlineStr">
        <is>
          <t>Ví dụ điểm</t>
        </is>
      </c>
      <c r="F4" s="2" t="inlineStr">
        <is>
          <t>Điểm có trọng số</t>
        </is>
      </c>
    </row>
    <row r="5">
      <c r="A5" s="3" t="n">
        <v>1</v>
      </c>
      <c r="B5" s="3" t="inlineStr">
        <is>
          <t>Kỹ năng khớp (Skills match)</t>
        </is>
      </c>
      <c r="C5" s="3" t="n">
        <v>40</v>
      </c>
      <c r="D5" s="3" t="inlineStr">
        <is>
          <t>Tỷ lệ từ khoá kỹ năng khớp JD</t>
        </is>
      </c>
      <c r="E5" s="3" t="inlineStr">
        <is>
          <t>4</t>
        </is>
      </c>
      <c r="F5" s="3">
        <f>C5*E5/5</f>
        <v/>
      </c>
    </row>
    <row r="6">
      <c r="A6" s="3" t="n">
        <v>2</v>
      </c>
      <c r="B6" s="3" t="inlineStr">
        <is>
          <t>Số năm kinh nghiệm</t>
        </is>
      </c>
      <c r="C6" s="3" t="n">
        <v>25</v>
      </c>
      <c r="D6" s="3" t="inlineStr">
        <is>
          <t>So với yêu cầu vị trí</t>
        </is>
      </c>
      <c r="E6" s="3" t="inlineStr">
        <is>
          <t>5</t>
        </is>
      </c>
      <c r="F6" s="3">
        <f>C6*E6/5</f>
        <v/>
      </c>
    </row>
    <row r="7">
      <c r="A7" s="3" t="n">
        <v>3</v>
      </c>
      <c r="B7" s="3" t="inlineStr">
        <is>
          <t>Khớp vị trí ứng tuyển (Vacancy)</t>
        </is>
      </c>
      <c r="C7" s="3" t="n">
        <v>20</v>
      </c>
      <c r="D7" s="3" t="inlineStr">
        <is>
          <t>Đúng vị trí = 5</t>
        </is>
      </c>
      <c r="E7" s="3" t="inlineStr">
        <is>
          <t>5</t>
        </is>
      </c>
      <c r="F7" s="3">
        <f>C7*E7/5</f>
        <v/>
      </c>
    </row>
    <row r="8">
      <c r="A8" s="3" t="n">
        <v>4</v>
      </c>
      <c r="B8" s="3" t="inlineStr">
        <is>
          <t>Độ mới của hồ sơ (ngày tạo)</t>
        </is>
      </c>
      <c r="C8" s="3" t="n">
        <v>10</v>
      </c>
      <c r="D8" s="3" t="inlineStr">
        <is>
          <t>Mới hơn điểm cao hơn</t>
        </is>
      </c>
      <c r="E8" s="3" t="inlineStr">
        <is>
          <t>3</t>
        </is>
      </c>
      <c r="F8" s="3">
        <f>C8*E8/5</f>
        <v/>
      </c>
    </row>
    <row r="9">
      <c r="A9" s="3" t="n">
        <v>5</v>
      </c>
      <c r="B9" s="3" t="inlineStr">
        <is>
          <t>Đầy đủ thông tin (5 trường)</t>
        </is>
      </c>
      <c r="C9" s="3" t="n">
        <v>5</v>
      </c>
      <c r="D9" s="3" t="inlineStr">
        <is>
          <t>Đủ trường = 5</t>
        </is>
      </c>
      <c r="E9" s="3" t="inlineStr">
        <is>
          <t>5</t>
        </is>
      </c>
      <c r="F9" s="3">
        <f>C9*E9/5</f>
        <v/>
      </c>
    </row>
    <row r="10">
      <c r="A10" s="4" t="inlineStr"/>
      <c r="B10" s="4" t="inlineStr">
        <is>
          <t>TỔNG</t>
        </is>
      </c>
      <c r="C10" s="4">
        <f>SUM(C5:C9)</f>
        <v/>
      </c>
      <c r="D10" s="4" t="inlineStr"/>
      <c r="E10" s="4" t="inlineStr">
        <is>
          <t>Tổng điểm:</t>
        </is>
      </c>
      <c r="F10" s="4">
        <f>SUM(F5:F9)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2026-05-31T01:54:20Z</dcterms:created>
  <dcterms:modified xmlns:dcterms="http://purl.org/dc/terms/" xmlns:xsi="http://www.w3.org/2001/XMLSchema-instance" xsi:type="dcterms:W3CDTF">2026-05-31T01:54:20Z</dcterms:modified>
</cp:coreProperties>
</file>